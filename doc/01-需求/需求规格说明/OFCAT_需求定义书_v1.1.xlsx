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封面" sheetId="1" r:id="rId1"/>
    <sheet name="目录" sheetId="2" r:id="rId2"/>
    <sheet name="修订履历" sheetId="3" r:id="rId3"/>
    <sheet name="术语表" sheetId="4" r:id="rId4"/>
    <sheet name="约束条件" sheetId="5" r:id="rId5"/>
    <sheet name="功能一览" sheetId="6" r:id="rId6"/>
    <sheet name="功能规格" sheetId="7" r:id="rId7"/>
    <sheet name="非功能需求" sheetId="8" r:id="rId8"/>
    <sheet name="课题管理" sheetId="9" r:id="rId9"/>
    <sheet name="可追溯性" sheetId="10" r:id="rId10"/>
    <sheet name="里程碑" sheetId="11" r:id="rId11"/>
  </sheets>
  <definedNames>
    <definedName name="_xlnm._FilterDatabase" localSheetId="2" hidden="1">修订履历!$A$3:$E$6</definedName>
    <definedName name="_xlnm._FilterDatabase" localSheetId="3" hidden="1">术语表!$A$3:$C$15</definedName>
    <definedName name="_xlnm._FilterDatabase" localSheetId="4" hidden="1">约束条件!$A$3:$C$9</definedName>
    <definedName name="_xlnm._FilterDatabase" localSheetId="5" hidden="1">功能一览!$A$3:$F$14</definedName>
    <definedName name="_xlnm._FilterDatabase" localSheetId="6" hidden="1">功能规格!$A$3:$J$14</definedName>
    <definedName name="_xlnm._FilterDatabase" localSheetId="7" hidden="1">非功能需求!$A$3:$E$18</definedName>
    <definedName name="_xlnm._FilterDatabase" localSheetId="8" hidden="1">课题管理!$A$3:$G$9</definedName>
    <definedName name="_xlnm._FilterDatabase" localSheetId="9" hidden="1">可追溯性!$A$3:$D$8</definedName>
    <definedName name="_xlnm._FilterDatabase" localSheetId="10" hidden="1">里程碑!$A$3:$D$8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<sst xmlns="http://schemas.openxmlformats.org/spreadsheetml/2006/main" count="518" uniqueCount="387">
  <si>
    <t>需求定义书</t>
  </si>
  <si>
    <t>OFCAT — AI 增强型 CAT 浏览器工作台</t>
  </si>
  <si>
    <t>文档编号</t>
  </si>
  <si>
    <t>OFCAT-REQ-001</t>
  </si>
  <si>
    <t>文档名</t>
  </si>
  <si>
    <t>版本</t>
  </si>
  <si>
    <t>第 1.1 版（草稿）</t>
  </si>
  <si>
    <t>创建日</t>
  </si>
  <si>
    <t>2026-06-25</t>
  </si>
  <si>
    <t>作者</t>
  </si>
  <si>
    <t>李典</t>
  </si>
  <si>
    <t>状态</t>
  </si>
  <si>
    <t>评审前草稿</t>
  </si>
  <si>
    <t>密级</t>
  </si>
  <si>
    <t>仅社内（Confidential / Internal Only）</t>
  </si>
  <si>
    <t>上游文档</t>
  </si>
  <si>
    <t>初版构想 / 需求规格说明 v0.1</t>
  </si>
  <si>
    <t>摘要（自动统计）</t>
  </si>
  <si>
    <t>功能条数</t>
  </si>
  <si>
    <t>MVP 必须功能数</t>
  </si>
  <si>
    <t>未确定课题数</t>
  </si>
  <si>
    <t>术语登记数</t>
  </si>
  <si>
    <t>目录（Index）</t>
  </si>
  <si>
    <t>No</t>
  </si>
  <si>
    <t>工作表名</t>
  </si>
  <si>
    <t>内容</t>
  </si>
  <si>
    <t>1</t>
  </si>
  <si>
    <t>封面</t>
  </si>
  <si>
    <t>文档管理信息·摘要</t>
  </si>
  <si>
    <t>2</t>
  </si>
  <si>
    <t>目录</t>
  </si>
  <si>
    <t>本工作表</t>
  </si>
  <si>
    <t>3</t>
  </si>
  <si>
    <t>修订履历</t>
  </si>
  <si>
    <t>版本·修订内容履历</t>
  </si>
  <si>
    <t>4</t>
  </si>
  <si>
    <t>术语表</t>
  </si>
  <si>
    <t>术语·定义</t>
  </si>
  <si>
    <t>5</t>
  </si>
  <si>
    <t>约束条件</t>
  </si>
  <si>
    <t>已确定架构约束 C1–C6</t>
  </si>
  <si>
    <t>6</t>
  </si>
  <si>
    <t>功能一览</t>
  </si>
  <si>
    <t>功能ID·优先级·阶段（F1–F11）</t>
  </si>
  <si>
    <t>7</t>
  </si>
  <si>
    <t>功能规格</t>
  </si>
  <si>
    <t>功能明细卡（输入/处理/输出/业务规则/例外）</t>
  </si>
  <si>
    <t>8</t>
  </si>
  <si>
    <t>非功能需求</t>
  </si>
  <si>
    <t>按 IPA 等级分类的非功能需求</t>
  </si>
  <si>
    <t>9</t>
  </si>
  <si>
    <t>课题管理</t>
  </si>
  <si>
    <t>Open Issues O1–O6（状态·期限）</t>
  </si>
  <si>
    <t>10</t>
  </si>
  <si>
    <t>可追溯性</t>
  </si>
  <si>
    <t>课题→效果→功能 对应矩阵</t>
  </si>
  <si>
    <t>11</t>
  </si>
  <si>
    <t>里程碑</t>
  </si>
  <si>
    <t>M1–M5 发布计划</t>
  </si>
  <si>
    <t>修订履历（Revision History）</t>
  </si>
  <si>
    <t>日期</t>
  </si>
  <si>
    <t>修订者</t>
  </si>
  <si>
    <t>修订内容</t>
  </si>
  <si>
    <t>审批</t>
  </si>
  <si>
    <t>0.1</t>
  </si>
  <si>
    <t>需求沟通后初稿</t>
  </si>
  <si>
    <t/>
  </si>
  <si>
    <t>1.0</t>
  </si>
  <si>
    <t>按日系 SIer 需求定义书规范与颗粒度重整；补充功能规格卡/非功能需求/术语定义/课题管理</t>
  </si>
  <si>
    <t>1.1</t>
  </si>
  <si>
    <t>全文中文化（原日语正文译为中文，保留 SIer 结构与颗粒度）</t>
  </si>
  <si>
    <t>术语表（Glossary）</t>
  </si>
  <si>
    <t>术语</t>
  </si>
  <si>
    <t>英文/全称</t>
  </si>
  <si>
    <t>定义</t>
  </si>
  <si>
    <t>CAT</t>
  </si>
  <si>
    <t>Computer-Assisted Translation</t>
  </si>
  <si>
    <t>计算机辅助翻译。译员主导、工具辅助的翻译作业方式。</t>
  </si>
  <si>
    <t>TM</t>
  </si>
  <si>
    <t>Translation Memory（翻译记忆库）</t>
  </si>
  <si>
    <t>翻译记忆库。已确认的原文-译文对的复用库。</t>
  </si>
  <si>
    <t>术语库</t>
  </si>
  <si>
    <t>Termbase</t>
  </si>
  <si>
    <t>规定特定术语在特定领域的统一译法。</t>
  </si>
  <si>
    <t>句段</t>
  </si>
  <si>
    <t>Segment</t>
  </si>
  <si>
    <t>翻译作业的最小单位（通常为一句）。</t>
  </si>
  <si>
    <t>模糊匹配</t>
  </si>
  <si>
    <t>Fuzzy Match</t>
  </si>
  <si>
    <t>TM 中与当前原文相似但非完全一致的命中（以相似度 % 表示）。</t>
  </si>
  <si>
    <t>精确匹配</t>
  </si>
  <si>
    <t>100% Match</t>
  </si>
  <si>
    <t>TM 中与当前原文完全一致的命中。</t>
  </si>
  <si>
    <t>占位符</t>
  </si>
  <si>
    <t>Placeholder</t>
  </si>
  <si>
    <t>{count}、%s、{{name}} 等需原样保留的可变标记。</t>
  </si>
  <si>
    <t>标签保护</t>
  </si>
  <si>
    <t>Tag Protection</t>
  </si>
  <si>
    <t>翻译过程中保护 HTML/标记标签不被破坏的机制。</t>
  </si>
  <si>
    <t>薄扩展</t>
  </si>
  <si>
    <t>Thin Extension</t>
  </si>
  <si>
    <t>仅承担 UI/捕获、不含重逻辑的浏览器扩展。</t>
  </si>
  <si>
    <t>本地引擎</t>
  </si>
  <si>
    <t>Local Engine</t>
  </si>
  <si>
    <t>本机运行的 CAT 核心服务（TM/术语/QA/编排/OCR/本地 LLM）。</t>
  </si>
  <si>
    <t>AI 网关</t>
  </si>
  <si>
    <t>AI Gateway</t>
  </si>
  <si>
    <t>统一封装云端/本地各 LLM、负责模型路由与合规开关的组件。</t>
  </si>
  <si>
    <t>合规开关</t>
  </si>
  <si>
    <t>Compliance Switch</t>
  </si>
  <si>
    <t>按域名/项目把敏感内容强制路由到本地模型的机制。</t>
  </si>
  <si>
    <t>约束条件一览（Constraints）</t>
  </si>
  <si>
    <t>ID</t>
  </si>
  <si>
    <t>约束名</t>
  </si>
  <si>
    <t>C1</t>
  </si>
  <si>
    <t>部署形态</t>
  </si>
  <si>
    <t>薄扩展 + 本地引擎。扩展仅做选区捕获/UI/快捷键；CAT 引擎放本机服务，经 127.0.0.1 或 Native Messaging 通信。</t>
  </si>
  <si>
    <t>C2</t>
  </si>
  <si>
    <t>产品定位</t>
  </si>
  <si>
    <t>社内工具。重稳定与可维护性；账号体系·计费·对外多租户为对象外。</t>
  </si>
  <si>
    <t>C3</t>
  </si>
  <si>
    <t>数据合规</t>
  </si>
  <si>
    <t>AI 网关必须支持模型路由 + 合规开关。敏感内容按域名/项目单位强制路由到本地模型。云端/本地以 OpenAI 兼容协议统一。</t>
  </si>
  <si>
    <t>C4</t>
  </si>
  <si>
    <t>数据归属</t>
  </si>
  <si>
    <t>TM/术语库本地为主 + 可选同步。本机 SQLite 为权威副本（离线/快速）；中心同步服务同步术语库与核心 TM（非实时协作）。</t>
  </si>
  <si>
    <t>C5</t>
  </si>
  <si>
    <t>多语种</t>
  </si>
  <si>
    <t>TM/术语条目主键必须含 源语言→目标语言 维度。不写死中/日/英。</t>
  </si>
  <si>
    <t>C6</t>
  </si>
  <si>
    <t>迁移数据</t>
  </si>
  <si>
    <t>存量 TM/术语格式杂乱。需要清洗+字段映射+去重的导入管道。不以标准 TMX/TBX 为前提。</t>
  </si>
  <si>
    <t>功能一览（Function List）</t>
  </si>
  <si>
    <t>功能ID</t>
  </si>
  <si>
    <t>功能名</t>
  </si>
  <si>
    <t>概要</t>
  </si>
  <si>
    <t>优先级</t>
  </si>
  <si>
    <t>阶段</t>
  </si>
  <si>
    <t>关联功能</t>
  </si>
  <si>
    <t>F1</t>
  </si>
  <si>
    <t>选区捕获</t>
  </si>
  <si>
    <t>网页文本选区捕获与触发</t>
  </si>
  <si>
    <t>必须</t>
  </si>
  <si>
    <t>MVP</t>
  </si>
  <si>
    <t>F2,F8,F10</t>
  </si>
  <si>
    <t>F2</t>
  </si>
  <si>
    <t>TM 匹配</t>
  </si>
  <si>
    <t>精确匹配/模糊匹配</t>
  </si>
  <si>
    <t>F6,F9</t>
  </si>
  <si>
    <t>F3</t>
  </si>
  <si>
    <t>术语匹配与注入</t>
  </si>
  <si>
    <t>术语提示与约束注入</t>
  </si>
  <si>
    <t>F4,F6</t>
  </si>
  <si>
    <t>F4</t>
  </si>
  <si>
    <t>术语强制校验</t>
  </si>
  <si>
    <t>译后术语校验/替换</t>
  </si>
  <si>
    <t>F3,F7</t>
  </si>
  <si>
    <t>F5</t>
  </si>
  <si>
    <t>标签/占位符保护</t>
  </si>
  <si>
    <t>标签占位符保护与校验</t>
  </si>
  <si>
    <t>F6,F7</t>
  </si>
  <si>
    <t>F6</t>
  </si>
  <si>
    <t>单模型流式翻译</t>
  </si>
  <si>
    <t>默认流式翻译（L2）</t>
  </si>
  <si>
    <t>F3,F5,F10</t>
  </si>
  <si>
    <t>F7</t>
  </si>
  <si>
    <t>行内 overlay 编辑</t>
  </si>
  <si>
    <t>译文行内展示与编辑</t>
  </si>
  <si>
    <t>F4,F5,F8</t>
  </si>
  <si>
    <t>F8</t>
  </si>
  <si>
    <t>写回页面</t>
  </si>
  <si>
    <t>安全写回选区</t>
  </si>
  <si>
    <t>F1,F7</t>
  </si>
  <si>
    <t>F9</t>
  </si>
  <si>
    <t>保存进 TM</t>
  </si>
  <si>
    <t>确认译文回存 TM</t>
  </si>
  <si>
    <t>F2,F11</t>
  </si>
  <si>
    <t>F10</t>
  </si>
  <si>
    <t>合规路由</t>
  </si>
  <si>
    <t>云端/本地模型路由</t>
  </si>
  <si>
    <t>F11</t>
  </si>
  <si>
    <t>存量数据导入</t>
  </si>
  <si>
    <t>存量术语/TM 导入</t>
  </si>
  <si>
    <t>高</t>
  </si>
  <si>
    <t>M2</t>
  </si>
  <si>
    <t>F2,F9</t>
  </si>
  <si>
    <t>功能规格（Function Specification — 明细）</t>
  </si>
  <si>
    <t>触发</t>
  </si>
  <si>
    <t>输入</t>
  </si>
  <si>
    <t>处理</t>
  </si>
  <si>
    <t>输出</t>
  </si>
  <si>
    <t>业务规则</t>
  </si>
  <si>
    <t>例外/错误</t>
  </si>
  <si>
    <t>①快捷键 ②右键菜单「AI Translate」③选区旁浮动按钮</t>
  </si>
  <si>
    <t>选中文本/所在 DOM 节点/页面 URL·域名/(可能的)语言信息</t>
  </si>
  <si>
    <t>获取选区文本与上下文；识别源语言；判定域名是否敏感(供 F10)</t>
  </si>
  <si>
    <t>标准化句段(原文+元信息)</t>
  </si>
  <si>
    <t>空选区/纯符号不触发；过长选区按句段切分</t>
  </si>
  <si>
    <t>不可编辑区域·跨 iframe·富文本节点→标记「需特殊写回」(F8)</t>
  </si>
  <si>
    <t>句段确定时</t>
  </si>
  <si>
    <t>原文/源语言/目标语言/(可选)领域·项目</t>
  </si>
  <si>
    <t>①精确匹配检索 ②模糊匹配(以编辑距离/相似度为主、语义向量为辅)；计算相似度%</t>
  </si>
  <si>
    <t>命中候选(译文/相似度%/来源)；100%→L0，模糊→L1</t>
  </si>
  <si>
    <t>精确匹配不调用 API、即时填充；模糊(默认 85%以上)高亮差异+等待确认</t>
  </si>
  <si>
    <t>TM 未初始化/为空→视为未命中转 L2</t>
  </si>
  <si>
    <t>原文/源·目标语言/领域</t>
  </si>
  <si>
    <t>术语抽取→术语库匹配→overlay 提示+作为约束注入翻译提示词</t>
  </si>
  <si>
    <t>命中术语列表(原词/约定译法/领域)</t>
  </si>
  <si>
    <t>按多语种维度(C5)匹配；领域有不同译法时领域设定优先</t>
  </si>
  <si>
    <t>术语库未设定→不注入继续翻译</t>
  </si>
  <si>
    <t>翻译结果生成后</t>
  </si>
  <si>
    <t>翻译结果/F3 命中术语列表</t>
  </si>
  <si>
    <t>扫描译文，检出未使用约定译法的术语；标红+一键替换</t>
  </si>
  <si>
    <t>违反列表+修正候选</t>
  </si>
  <si>
    <t>不依赖模型自觉，确保确定性</t>
  </si>
  <si>
    <t>上下文不可替换→仅警告(不自动替换)</t>
  </si>
  <si>
    <t>翻译前后</t>
  </si>
  <si>
    <t>原文(含标签/占位符)</t>
  </si>
  <si>
    <t>译前替换为哨兵 token→翻译→译后回填→校验数量与完整性</t>
  </si>
  <si>
    <t>标签/占位符保全的译文</t>
  </si>
  <si>
    <t>数量不一致视为 QA 错误(F7 警告)；位置可移动，欠缺/增加不可</t>
  </si>
  <si>
    <t>无法回填(数量不一致)→向用户警告并要求确认</t>
  </si>
  <si>
    <t>TM 未命中(L2)</t>
  </si>
  <si>
    <t>受保护句段/术语约束/源·目标语言/领域</t>
  </si>
  <si>
    <t>经 AI 网关向模型请求；流式输出；~1s 内显示首字</t>
  </si>
  <si>
    <t>译文(流式)</t>
  </si>
  <si>
    <t>默认单模型；多模型投票(L3)为手动触发的独立功能(后续)</t>
  </si>
  <si>
    <t>响应失败→重试/回退到备用模型(可配置)</t>
  </si>
  <si>
    <t>收到译文时</t>
  </si>
  <si>
    <t>译文/术语提示/QA 警告(F4·F5)</t>
  </si>
  <si>
    <t>overlay 展示；高亮术语命中/QA 违反；可编辑；回车确认</t>
  </si>
  <si>
    <t>确认译文</t>
  </si>
  <si>
    <t>可仅用键盘完成(操作数最小化)</t>
  </si>
  <si>
    <t>用户取消→不写回/不保存</t>
  </si>
  <si>
    <t>确认时</t>
  </si>
  <si>
    <t>确认译文/目标 DOM 节点类型</t>
  </si>
  <si>
    <t>普通文本直接替换；富文本编辑器经其 API/模拟输入安全写入</t>
  </si>
  <si>
    <t>更新后的页面</t>
  </si>
  <si>
    <t>禁止直接改写 innerText(防止文档破坏)</t>
  </si>
  <si>
    <t>不可写入区域→仅提供译文供复制</t>
  </si>
  <si>
    <t>确认后</t>
  </si>
  <si>
    <t>原文/确认译文/源·目标语言/领域/项目</t>
  </si>
  <si>
    <t>按 源语言→目标语言 维度(C5)保存进本机 SQLite TM；重复则更新</t>
  </si>
  <si>
    <t>更新后的 TM</t>
  </si>
  <si>
    <t>同步对象的核心 TM 推送至中心服务(C4，非实时)</t>
  </si>
  <si>
    <t>保存失败→本地队列重试</t>
  </si>
  <si>
    <t>翻译请求时</t>
  </si>
  <si>
    <t>域名/项目/敏感判定/模型设定</t>
  </si>
  <si>
    <t>敏感为真→强制路由本地模型；否则→默认(可云端)；OpenAI 兼容仅切换 base_url</t>
  </si>
  <si>
    <t>选定的模型端点</t>
  </si>
  <si>
    <t>敏感内容上云率 0%；默认策略可配置(O6)</t>
  </si>
  <si>
    <t>本地模型不可达→中止翻译并警告(不把敏感内容流向云端)</t>
  </si>
  <si>
    <t>导入操作时</t>
  </si>
  <si>
    <t>Excel/CSV/TMX/TBX 等(格式不统一)</t>
  </si>
  <si>
    <t>清洗→字段映射(源/目标/领域)→去重→导入本机 SQLite</t>
  </si>
  <si>
    <t>导入结果报告(成功/重复/错误条数)</t>
  </si>
  <si>
    <t>不以标准 TMX/TBX 为前提(C6)；映射定义须经用户确认</t>
  </si>
  <si>
    <t>非法行跳过并记入报告</t>
  </si>
  <si>
    <t>非功能需求一览（Non-Functional Requirements / 按 IPA 等级分类）</t>
  </si>
  <si>
    <t>NFR-ID</t>
  </si>
  <si>
    <t>类别</t>
  </si>
  <si>
    <t>项目</t>
  </si>
  <si>
    <t>需求内容</t>
  </si>
  <si>
    <t>目标/区分</t>
  </si>
  <si>
    <t>NFR-01</t>
  </si>
  <si>
    <t>可用性</t>
  </si>
  <si>
    <t>离线运行</t>
  </si>
  <si>
    <t>TM/术语匹配·本地模型路径在离线时仍可用</t>
  </si>
  <si>
    <t>必达</t>
  </si>
  <si>
    <t>NFR-02</t>
  </si>
  <si>
    <t>同步故障时继续</t>
  </si>
  <si>
    <t>中心同步服务停止时本地作业仍可继续</t>
  </si>
  <si>
    <t>NFR-03</t>
  </si>
  <si>
    <t>性能·扩展性</t>
  </si>
  <si>
    <t>L0 精确匹配</t>
  </si>
  <si>
    <t>TM 精确匹配即时响应·不调用云端 API</t>
  </si>
  <si>
    <t>即时</t>
  </si>
  <si>
    <t>NFR-04</t>
  </si>
  <si>
    <t>L1 模糊匹配</t>
  </si>
  <si>
    <t>TM 模糊匹配即时填充+等待确认</t>
  </si>
  <si>
    <t>NFR-05</t>
  </si>
  <si>
    <t>L2 默认翻译</t>
  </si>
  <si>
    <t>TM 未命中以单模型流式 ~1s 内显示首字</t>
  </si>
  <si>
    <t>~1s</t>
  </si>
  <si>
    <t>NFR-06</t>
  </si>
  <si>
    <t>L3 高质量</t>
  </si>
  <si>
    <t>多模型投票+评审为手动触发</t>
  </si>
  <si>
    <t>5〜10s</t>
  </si>
  <si>
    <t>NFR-07</t>
  </si>
  <si>
    <t>TM 索引规模</t>
  </si>
  <si>
    <t>按 TM 条数预想规模(O1 确定后)确定索引方式</t>
  </si>
  <si>
    <t>O1 依赖</t>
  </si>
  <si>
    <t>NFR-08</t>
  </si>
  <si>
    <t>运维·可维护性</t>
  </si>
  <si>
    <t>职责分离</t>
  </si>
  <si>
    <t>薄扩展与本地引擎分离，可独立升级</t>
  </si>
  <si>
    <t>NFR-09</t>
  </si>
  <si>
    <t>接口契约稳定</t>
  </si>
  <si>
    <t>稳定扩展↔引擎/AI 网关的接口契约</t>
  </si>
  <si>
    <t>NFR-10</t>
  </si>
  <si>
    <t>迁移性</t>
  </si>
  <si>
    <t>存量导入</t>
  </si>
  <si>
    <t>提供存量术语/TM 的导入管道(F11)</t>
  </si>
  <si>
    <t>NFR-11</t>
  </si>
  <si>
    <t>备份</t>
  </si>
  <si>
    <t>本机 SQLite 可备份/迁移</t>
  </si>
  <si>
    <t>NFR-12</t>
  </si>
  <si>
    <t>安全</t>
  </si>
  <si>
    <t>上云限制</t>
  </si>
  <si>
    <t>敏感域名/项目内容不发往云端</t>
  </si>
  <si>
    <t>上云率 0%</t>
  </si>
  <si>
    <t>NFR-13</t>
  </si>
  <si>
    <t>加密</t>
  </si>
  <si>
    <t>同步通道加密；本地数据本地保管</t>
  </si>
  <si>
    <t>NFR-14</t>
  </si>
  <si>
    <t>系统环境</t>
  </si>
  <si>
    <t>客户端</t>
  </si>
  <si>
    <t>Chromium 系浏览器 + 本地引擎</t>
  </si>
  <si>
    <t>前提</t>
  </si>
  <si>
    <t>NFR-15</t>
  </si>
  <si>
    <t>模型</t>
  </si>
  <si>
    <t>云端 + 本地 LLM(推荐 Qwen 系·Ollama/vLLM)</t>
  </si>
  <si>
    <t>课题管理表（Open Issues）</t>
  </si>
  <si>
    <t>课题</t>
  </si>
  <si>
    <t>影响</t>
  </si>
  <si>
    <t>负责人</t>
  </si>
  <si>
    <t>期限</t>
  </si>
  <si>
    <t>备注</t>
  </si>
  <si>
    <t>O1</t>
  </si>
  <si>
    <t>团队规模/日均翻译量/TM 预想条数规模</t>
  </si>
  <si>
    <t>TM 索引·同步服务规格</t>
  </si>
  <si>
    <t>基础设计前</t>
  </si>
  <si>
    <t>未确定</t>
  </si>
  <si>
    <t>O2</t>
  </si>
  <si>
    <t>目标浏览器：仅 Edge / Edge + Chrome</t>
  </si>
  <si>
    <t>打包·兼容性</t>
  </si>
  <si>
    <t>O3</t>
  </si>
  <si>
    <t>云端模型是否有社内账号·预算约束</t>
  </si>
  <si>
    <t>默认模型·成本设计</t>
  </si>
  <si>
    <t>O4</t>
  </si>
  <si>
    <t>中心同步服务的运维主体·部署(内网/云)</t>
  </si>
  <si>
    <t>C4 落地·安全设计</t>
  </si>
  <si>
    <t>M2 前</t>
  </si>
  <si>
    <t>O5</t>
  </si>
  <si>
    <t>存量数据的真实样本/格式</t>
  </si>
  <si>
    <t>导入管道设计(F11)</t>
  </si>
  <si>
    <t>O6</t>
  </si>
  <si>
    <t>「敏感」的定义(域名清单 / 项目标记)</t>
  </si>
  <si>
    <t>合规开关默认策略(F10)</t>
  </si>
  <si>
    <t>MVP 前</t>
  </si>
  <si>
    <t>最优先</t>
  </si>
  <si>
    <t>可追溯性矩阵（课题→效果→功能）</t>
  </si>
  <si>
    <t>期望效果</t>
  </si>
  <si>
    <t>关联约束</t>
  </si>
  <si>
    <t>对应功能</t>
  </si>
  <si>
    <t>课题1 操作步骤多</t>
  </si>
  <si>
    <t>效果1 操作数≤2 / 效果5 效率3〜10倍</t>
  </si>
  <si>
    <t>—</t>
  </si>
  <si>
    <t>F1,F6,F7,F8</t>
  </si>
  <si>
    <t>课题2 通用插件缺 CAT 能力</t>
  </si>
  <si>
    <t>效果2 精确匹配即时 / 效果3 术语符合100%</t>
  </si>
  <si>
    <t>F2,F3,F4,F5,F9</t>
  </si>
  <si>
    <t>课题3 AI 术语不统一/语义污染</t>
  </si>
  <si>
    <t>效果3 术语符合率 100%</t>
  </si>
  <si>
    <t>F3,F4</t>
  </si>
  <si>
    <t>课题4 敏感内容上云风险</t>
  </si>
  <si>
    <t>效果4 上云率 0%</t>
  </si>
  <si>
    <t>课题5 存量数据杂乱</t>
  </si>
  <si>
    <t>—（基础整备）</t>
  </si>
  <si>
    <t>里程碑（Milestones）</t>
  </si>
  <si>
    <t>主要功能</t>
  </si>
  <si>
    <t>M1</t>
  </si>
  <si>
    <t>MVP 闭环（网页选区翻译）</t>
  </si>
  <si>
    <t>F1–F10</t>
  </si>
  <si>
    <t>最优先。O6 须在 MVP 前确定</t>
  </si>
  <si>
    <t>数据底座（存量导入+数据层）</t>
  </si>
  <si>
    <t>F11 + 同步</t>
  </si>
  <si>
    <t>O4,O5 须在 M2 前确定</t>
  </si>
  <si>
    <t>M3</t>
  </si>
  <si>
    <t>文档场景</t>
  </si>
  <si>
    <t>PDF 双语对照</t>
  </si>
  <si>
    <t>M4</t>
  </si>
  <si>
    <t>工作流场景</t>
  </si>
  <si>
    <t>Jira 反馈模式</t>
  </si>
  <si>
    <t>M5</t>
  </si>
  <si>
    <t>增强能力</t>
  </si>
  <si>
    <t>OCR / 多模型投票 / 本地 LLM / 文档级实体记忆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</si>
</sst>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3"/>
      <color rgb="FFFFFFFF"/>
      <name val="Microsoft YaHei"/>
      <charset val="134"/>
    </font>
    <font>
      <b/>
      <sz val="10"/>
      <color rgb="FFFFFFFF"/>
      <name val="Microsoft YaHei"/>
      <charset val="134"/>
    </font>
    <font>
      <b/>
      <sz val="22"/>
      <color rgb="FF1F3864"/>
      <name val="Microsoft YaHei"/>
      <charset val="134"/>
    </font>
    <font>
      <b/>
      <sz val="12"/>
      <color rgb="FF404040"/>
      <name val="Microsoft YaHei"/>
      <charset val="134"/>
    </font>
    <font>
      <sz val="10"/>
      <color rgb="FF000000"/>
      <name val="Microsoft YaHei"/>
      <charset val="134"/>
    </font>
    <font>
      <b/>
      <sz val="10"/>
      <color rgb="FF1F3864"/>
      <name val="Microsoft YaHei"/>
      <charset val="134"/>
    </font>
    <font>
      <b/>
      <sz val="10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F2F5FB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0" xfId="0" applyFont="1"/>
    <xf numFmtId="0" fontId="7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name val="Microsoft YaHei"/>
        <scheme val="none"/>
        <b val="1"/>
        <sz val="10"/>
        <color rgb="FF9C0006"/>
      </font>
      <fill>
        <patternFill patternType="solid">
          <fgColor rgb="FFFFC7CE"/>
        </patternFill>
      </fill>
    </dxf>
    <dxf>
      <font>
        <name val="Microsoft YaHei"/>
        <scheme val="none"/>
        <b val="1"/>
        <sz val="10"/>
        <color rgb="FF9C6500"/>
      </font>
      <fill>
        <patternFill patternType="solid">
          <fgColor rgb="FFFFEB9C"/>
        </patternFill>
      </fill>
    </dxf>
    <dxf>
      <font>
        <name val="Microsoft YaHei"/>
        <scheme val="none"/>
        <b val="1"/>
        <sz val="10"/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3864"/>
  </sheetPr>
  <dimension ref="B2:C18"/>
  <sheetViews>
    <sheetView showGridLines="0" workbookViewId="0">
      <selection activeCell="C9" sqref="C9"/>
    </sheetView>
  </sheetViews>
  <sheetFormatPr defaultColWidth="9" defaultRowHeight="13.5" outlineLevelCol="2"/>
  <cols>
    <col min="1" max="1" width="3" customWidth="1"/>
    <col min="2" max="2" width="26" customWidth="1"/>
    <col min="3" max="3" width="52" customWidth="1"/>
    <col min="4" max="4" width="3" customWidth="1"/>
  </cols>
  <sheetData>
    <row r="2" ht="44" customHeight="1" spans="2:3">
      <c r="B2" s="7" t="s">
        <v>0</v>
      </c>
    </row>
    <row r="3" ht="24" customHeight="1" spans="2:3">
      <c r="B3" s="8" t="s">
        <v>1</v>
      </c>
    </row>
    <row r="5" ht="20" customHeight="1" spans="2:3">
      <c r="B5" s="9" t="s">
        <v>2</v>
      </c>
      <c r="C5" s="10" t="s">
        <v>3</v>
      </c>
    </row>
    <row r="6" ht="20" customHeight="1" spans="2:3">
      <c r="B6" s="9" t="s">
        <v>4</v>
      </c>
      <c r="C6" s="10" t="s">
        <v>0</v>
      </c>
    </row>
    <row r="7" ht="20" customHeight="1" spans="2:3">
      <c r="B7" s="9" t="s">
        <v>5</v>
      </c>
      <c r="C7" s="10" t="s">
        <v>6</v>
      </c>
    </row>
    <row r="8" ht="20" customHeight="1" spans="2:3">
      <c r="B8" s="9" t="s">
        <v>7</v>
      </c>
      <c r="C8" s="10" t="s">
        <v>8</v>
      </c>
    </row>
    <row r="9" ht="20" customHeight="1" spans="2:3">
      <c r="B9" s="9" t="s">
        <v>9</v>
      </c>
      <c r="C9" s="10" t="s">
        <v>10</v>
      </c>
    </row>
    <row r="10" ht="20" customHeight="1" spans="2:3">
      <c r="B10" s="9" t="s">
        <v>11</v>
      </c>
      <c r="C10" s="10" t="s">
        <v>12</v>
      </c>
    </row>
    <row r="11" ht="20" customHeight="1" spans="2:3">
      <c r="B11" s="9" t="s">
        <v>13</v>
      </c>
      <c r="C11" s="10" t="s">
        <v>14</v>
      </c>
    </row>
    <row r="12" ht="20" customHeight="1" spans="2:3">
      <c r="B12" s="9" t="s">
        <v>15</v>
      </c>
      <c r="C12" s="10" t="s">
        <v>16</v>
      </c>
    </row>
    <row r="14" ht="16.5" spans="2:3">
      <c r="B14" s="11" t="s">
        <v>17</v>
      </c>
    </row>
    <row r="15" ht="20" customHeight="1" spans="2:3">
      <c r="B15" s="12" t="s">
        <v>18</v>
      </c>
      <c r="C15" s="13">
        <f>COUNTA(功能一览!A4:A100)</f>
        <v>11</v>
      </c>
    </row>
    <row r="16" ht="20" customHeight="1" spans="2:3">
      <c r="B16" s="12" t="s">
        <v>19</v>
      </c>
      <c r="C16" s="13">
        <f>COUNTIF(功能一览!D4:D100,"必须")</f>
        <v>10</v>
      </c>
    </row>
    <row r="17" ht="20" customHeight="1" spans="2:3">
      <c r="B17" s="12" t="s">
        <v>20</v>
      </c>
      <c r="C17" s="13">
        <f>COUNTIF(课题管理!F4:F100,"未确定")</f>
        <v>6</v>
      </c>
    </row>
    <row r="18" ht="20" customHeight="1" spans="2:3">
      <c r="B18" s="12" t="s">
        <v>21</v>
      </c>
      <c r="C18" s="13">
        <f>COUNTA(术语表!A4:A200)</f>
        <v>12</v>
      </c>
    </row>
  </sheetData>
  <mergeCells count="2">
    <mergeCell ref="B2:C2"/>
    <mergeCell ref="B3:C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7F7F"/>
  </sheetPr>
  <dimension ref="A1:D14"/>
  <sheetViews>
    <sheetView showGridLines="0" workbookViewId="0">
      <pane ySplit="3" topLeftCell="A4" activePane="bottomLeft" state="frozen"/>
      <selection/>
      <selection pane="bottomLeft" activeCell="A1" sqref="A1:D1"/>
    </sheetView>
  </sheetViews>
  <sheetFormatPr defaultColWidth="9" defaultRowHeight="13.5" outlineLevelCol="3"/>
  <cols>
    <col min="1" max="1" width="3" customWidth="1"/>
    <col min="2" max="2" width="10" customWidth="1"/>
    <col min="3" max="3" width="34" customWidth="1"/>
    <col min="4" max="4" width="58" customWidth="1"/>
  </cols>
  <sheetData>
    <row r="1" ht="28" customHeight="1" spans="1:4">
      <c r="A1" s="1" t="s">
        <v>22</v>
      </c>
    </row>
    <row r="3" ht="16.5" spans="1:4">
      <c r="A3" s="2"/>
      <c r="B3" s="2" t="s">
        <v>23</v>
      </c>
      <c r="C3" s="2" t="s">
        <v>24</v>
      </c>
      <c r="D3" s="2" t="s">
        <v>25</v>
      </c>
    </row>
    <row r="4" spans="1:4">
      <c r="A4" s="4"/>
      <c r="B4" s="3" t="s">
        <v>26</v>
      </c>
      <c r="C4" s="4" t="s">
        <v>27</v>
      </c>
      <c r="D4" s="4" t="s">
        <v>28</v>
      </c>
    </row>
    <row r="5" spans="1:4">
      <c r="A5" s="6"/>
      <c r="B5" s="5" t="s">
        <v>29</v>
      </c>
      <c r="C5" s="6" t="s">
        <v>30</v>
      </c>
      <c r="D5" s="6" t="s">
        <v>31</v>
      </c>
    </row>
    <row r="6" spans="1:4">
      <c r="A6" s="4"/>
      <c r="B6" s="3" t="s">
        <v>32</v>
      </c>
      <c r="C6" s="4" t="s">
        <v>33</v>
      </c>
      <c r="D6" s="4" t="s">
        <v>34</v>
      </c>
    </row>
    <row r="7" spans="1:4">
      <c r="A7" s="6"/>
      <c r="B7" s="5" t="s">
        <v>35</v>
      </c>
      <c r="C7" s="6" t="s">
        <v>36</v>
      </c>
      <c r="D7" s="6" t="s">
        <v>37</v>
      </c>
    </row>
    <row r="8" spans="1:4">
      <c r="A8" s="4"/>
      <c r="B8" s="3" t="s">
        <v>38</v>
      </c>
      <c r="C8" s="4" t="s">
        <v>39</v>
      </c>
      <c r="D8" s="4" t="s">
        <v>40</v>
      </c>
    </row>
    <row r="9" spans="1:4">
      <c r="A9" s="6"/>
      <c r="B9" s="5" t="s">
        <v>41</v>
      </c>
      <c r="C9" s="6" t="s">
        <v>42</v>
      </c>
      <c r="D9" s="6" t="s">
        <v>43</v>
      </c>
    </row>
    <row r="10" spans="1:4">
      <c r="A10" s="4"/>
      <c r="B10" s="3" t="s">
        <v>44</v>
      </c>
      <c r="C10" s="4" t="s">
        <v>45</v>
      </c>
      <c r="D10" s="4" t="s">
        <v>46</v>
      </c>
    </row>
    <row r="11" spans="1:4">
      <c r="A11" s="6"/>
      <c r="B11" s="5" t="s">
        <v>47</v>
      </c>
      <c r="C11" s="6" t="s">
        <v>48</v>
      </c>
      <c r="D11" s="6" t="s">
        <v>49</v>
      </c>
    </row>
    <row r="12" spans="1:4">
      <c r="A12" s="4"/>
      <c r="B12" s="3" t="s">
        <v>50</v>
      </c>
      <c r="C12" s="4" t="s">
        <v>51</v>
      </c>
      <c r="D12" s="4" t="s">
        <v>52</v>
      </c>
    </row>
    <row r="13" spans="1:4">
      <c r="A13" s="6"/>
      <c r="B13" s="5" t="s">
        <v>53</v>
      </c>
      <c r="C13" s="6" t="s">
        <v>54</v>
      </c>
      <c r="D13" s="6" t="s">
        <v>55</v>
      </c>
    </row>
    <row r="14" spans="1:4">
      <c r="A14" s="4"/>
      <c r="B14" s="3" t="s">
        <v>56</v>
      </c>
      <c r="C14" s="4" t="s">
        <v>57</v>
      </c>
      <c r="D14" s="4" t="s">
        <v>58</v>
      </c>
    </row>
  </sheetData>
  <mergeCells count="1">
    <mergeCell ref="A1: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showGridLines="0" tabSelected="1" workbookViewId="0">
      <pane ySplit="3" topLeftCell="A4" activePane="bottomLeft" state="frozen"/>
      <selection/>
      <selection pane="bottomLeft" activeCell="C4" sqref="C4"/>
    </sheetView>
  </sheetViews>
  <sheetFormatPr defaultColWidth="9" defaultRowHeight="13.5" outlineLevelRow="5" outlineLevelCol="4"/>
  <cols>
    <col min="1" max="1" width="8" customWidth="1"/>
    <col min="2" max="2" width="14" customWidth="1"/>
    <col min="3" max="3" width="18" customWidth="1"/>
    <col min="4" max="4" width="66" customWidth="1"/>
    <col min="5" max="5" width="12" customWidth="1"/>
  </cols>
  <sheetData>
    <row r="1" ht="28" customHeight="1" spans="1:5">
      <c r="A1" s="1" t="s">
        <v>59</v>
      </c>
    </row>
    <row r="3" ht="16.5" spans="1:5">
      <c r="A3" s="2" t="s">
        <v>5</v>
      </c>
      <c r="B3" s="2" t="s">
        <v>60</v>
      </c>
      <c r="C3" s="2" t="s">
        <v>61</v>
      </c>
      <c r="D3" s="2" t="s">
        <v>62</v>
      </c>
      <c r="E3" s="2" t="s">
        <v>63</v>
      </c>
    </row>
    <row r="4" spans="1:5">
      <c r="A4" s="3" t="s">
        <v>64</v>
      </c>
      <c r="B4" s="3" t="s">
        <v>8</v>
      </c>
      <c r="C4" s="4" t="s">
        <v>10</v>
      </c>
      <c r="D4" s="4" t="s">
        <v>65</v>
      </c>
      <c r="E4" s="3" t="s">
        <v>66</v>
      </c>
    </row>
    <row r="5" ht="27" spans="1:5">
      <c r="A5" s="5" t="s">
        <v>67</v>
      </c>
      <c r="B5" s="5" t="s">
        <v>8</v>
      </c>
      <c r="C5" s="6" t="s">
        <v>10</v>
      </c>
      <c r="D5" s="6" t="s">
        <v>68</v>
      </c>
      <c r="E5" s="5" t="s">
        <v>66</v>
      </c>
    </row>
    <row r="6" spans="1:5">
      <c r="A6" s="3" t="s">
        <v>69</v>
      </c>
      <c r="B6" s="3" t="s">
        <v>8</v>
      </c>
      <c r="C6" s="4" t="s">
        <v>10</v>
      </c>
      <c r="D6" s="4" t="s">
        <v>70</v>
      </c>
      <c r="E6" s="3" t="s">
        <v>66</v>
      </c>
    </row>
  </sheetData>
  <autoFilter xmlns:etc="http://www.wps.cn/officeDocument/2017/etCustomData" ref="A3:E6" etc:filterBottomFollowUsedRange="0">
    <extLst/>
  </autoFilter>
  <mergeCells count="1">
    <mergeCell ref="A1:E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showGridLines="0" workbookViewId="0">
      <pane ySplit="3" topLeftCell="A4" activePane="bottomLeft" state="frozen"/>
      <selection/>
      <selection pane="bottomLeft" activeCell="A1" sqref="A1:C1"/>
    </sheetView>
  </sheetViews>
  <sheetFormatPr defaultColWidth="9" defaultRowHeight="13.5" outlineLevelCol="2"/>
  <cols>
    <col min="1" max="1" width="22" customWidth="1"/>
    <col min="2" max="2" width="34" customWidth="1"/>
    <col min="3" max="3" width="74" customWidth="1"/>
  </cols>
  <sheetData>
    <row r="1" ht="28" customHeight="1" spans="1:3">
      <c r="A1" s="1" t="s">
        <v>71</v>
      </c>
    </row>
    <row r="3" ht="16.5" spans="1:3">
      <c r="A3" s="2" t="s">
        <v>72</v>
      </c>
      <c r="B3" s="2" t="s">
        <v>73</v>
      </c>
      <c r="C3" s="2" t="s">
        <v>74</v>
      </c>
    </row>
    <row r="4" spans="1:3">
      <c r="A4" s="4" t="s">
        <v>75</v>
      </c>
      <c r="B4" s="4" t="s">
        <v>76</v>
      </c>
      <c r="C4" s="4" t="s">
        <v>77</v>
      </c>
    </row>
    <row r="5" spans="1:3">
      <c r="A5" s="6" t="s">
        <v>78</v>
      </c>
      <c r="B5" s="6" t="s">
        <v>79</v>
      </c>
      <c r="C5" s="6" t="s">
        <v>80</v>
      </c>
    </row>
    <row r="6" spans="1:3">
      <c r="A6" s="4" t="s">
        <v>81</v>
      </c>
      <c r="B6" s="4" t="s">
        <v>82</v>
      </c>
      <c r="C6" s="4" t="s">
        <v>83</v>
      </c>
    </row>
    <row r="7" spans="1:3">
      <c r="A7" s="6" t="s">
        <v>84</v>
      </c>
      <c r="B7" s="6" t="s">
        <v>85</v>
      </c>
      <c r="C7" s="6" t="s">
        <v>86</v>
      </c>
    </row>
    <row r="8" spans="1:3">
      <c r="A8" s="4" t="s">
        <v>87</v>
      </c>
      <c r="B8" s="4" t="s">
        <v>88</v>
      </c>
      <c r="C8" s="4" t="s">
        <v>89</v>
      </c>
    </row>
    <row r="9" spans="1:3">
      <c r="A9" s="6" t="s">
        <v>90</v>
      </c>
      <c r="B9" s="6" t="s">
        <v>91</v>
      </c>
      <c r="C9" s="6" t="s">
        <v>92</v>
      </c>
    </row>
    <row r="10" spans="1:3">
      <c r="A10" s="4" t="s">
        <v>93</v>
      </c>
      <c r="B10" s="4" t="s">
        <v>94</v>
      </c>
      <c r="C10" s="4" t="s">
        <v>95</v>
      </c>
    </row>
    <row r="11" spans="1:3">
      <c r="A11" s="6" t="s">
        <v>96</v>
      </c>
      <c r="B11" s="6" t="s">
        <v>97</v>
      </c>
      <c r="C11" s="6" t="s">
        <v>98</v>
      </c>
    </row>
    <row r="12" spans="1:3">
      <c r="A12" s="4" t="s">
        <v>99</v>
      </c>
      <c r="B12" s="4" t="s">
        <v>100</v>
      </c>
      <c r="C12" s="4" t="s">
        <v>101</v>
      </c>
    </row>
    <row r="13" spans="1:3">
      <c r="A13" s="6" t="s">
        <v>102</v>
      </c>
      <c r="B13" s="6" t="s">
        <v>103</v>
      </c>
      <c r="C13" s="6" t="s">
        <v>104</v>
      </c>
    </row>
    <row r="14" spans="1:3">
      <c r="A14" s="4" t="s">
        <v>105</v>
      </c>
      <c r="B14" s="4" t="s">
        <v>106</v>
      </c>
      <c r="C14" s="4" t="s">
        <v>107</v>
      </c>
    </row>
    <row r="15" spans="1:3">
      <c r="A15" s="6" t="s">
        <v>108</v>
      </c>
      <c r="B15" s="6" t="s">
        <v>109</v>
      </c>
      <c r="C15" s="6" t="s">
        <v>110</v>
      </c>
    </row>
  </sheetData>
  <autoFilter xmlns:etc="http://www.wps.cn/officeDocument/2017/etCustomData" ref="A3:C15" etc:filterBottomFollowUsedRange="0">
    <extLst/>
  </autoFilter>
  <mergeCells count="1">
    <mergeCell ref="A1:C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showGridLines="0" workbookViewId="0">
      <pane ySplit="3" topLeftCell="A4" activePane="bottomLeft" state="frozen"/>
      <selection/>
      <selection pane="bottomLeft" activeCell="A1" sqref="A1:C1"/>
    </sheetView>
  </sheetViews>
  <sheetFormatPr defaultColWidth="9" defaultRowHeight="13.5" outlineLevelCol="2"/>
  <cols>
    <col min="1" max="1" width="8" customWidth="1"/>
    <col min="2" max="2" width="24" customWidth="1"/>
    <col min="3" max="3" width="92" customWidth="1"/>
  </cols>
  <sheetData>
    <row r="1" ht="28" customHeight="1" spans="1:3">
      <c r="A1" s="1" t="s">
        <v>111</v>
      </c>
    </row>
    <row r="3" ht="16.5" spans="1:3">
      <c r="A3" s="2" t="s">
        <v>112</v>
      </c>
      <c r="B3" s="2" t="s">
        <v>113</v>
      </c>
      <c r="C3" s="2" t="s">
        <v>25</v>
      </c>
    </row>
    <row r="4" ht="27" spans="1:3">
      <c r="A4" s="3" t="s">
        <v>114</v>
      </c>
      <c r="B4" s="4" t="s">
        <v>115</v>
      </c>
      <c r="C4" s="4" t="s">
        <v>116</v>
      </c>
    </row>
    <row r="5" spans="1:3">
      <c r="A5" s="5" t="s">
        <v>117</v>
      </c>
      <c r="B5" s="6" t="s">
        <v>118</v>
      </c>
      <c r="C5" s="6" t="s">
        <v>119</v>
      </c>
    </row>
    <row r="6" ht="27" spans="1:3">
      <c r="A6" s="3" t="s">
        <v>120</v>
      </c>
      <c r="B6" s="4" t="s">
        <v>121</v>
      </c>
      <c r="C6" s="4" t="s">
        <v>122</v>
      </c>
    </row>
    <row r="7" ht="27" spans="1:3">
      <c r="A7" s="5" t="s">
        <v>123</v>
      </c>
      <c r="B7" s="6" t="s">
        <v>124</v>
      </c>
      <c r="C7" s="6" t="s">
        <v>125</v>
      </c>
    </row>
    <row r="8" spans="1:3">
      <c r="A8" s="3" t="s">
        <v>126</v>
      </c>
      <c r="B8" s="4" t="s">
        <v>127</v>
      </c>
      <c r="C8" s="4" t="s">
        <v>128</v>
      </c>
    </row>
    <row r="9" spans="1:3">
      <c r="A9" s="5" t="s">
        <v>129</v>
      </c>
      <c r="B9" s="6" t="s">
        <v>130</v>
      </c>
      <c r="C9" s="6" t="s">
        <v>131</v>
      </c>
    </row>
  </sheetData>
  <autoFilter xmlns:etc="http://www.wps.cn/officeDocument/2017/etCustomData" ref="A3:C9" etc:filterBottomFollowUsedRange="0">
    <extLst/>
  </autoFilter>
  <mergeCells count="1">
    <mergeCell ref="A1:C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F14"/>
  <sheetViews>
    <sheetView showGridLines="0" workbookViewId="0">
      <pane ySplit="3" topLeftCell="A4" activePane="bottomLeft" state="frozen"/>
      <selection/>
      <selection pane="bottomLeft" activeCell="A1" sqref="A1:F1"/>
    </sheetView>
  </sheetViews>
  <sheetFormatPr defaultColWidth="9" defaultRowHeight="13.5" outlineLevelCol="5"/>
  <cols>
    <col min="1" max="1" width="10" customWidth="1"/>
    <col min="2" max="2" width="24" customWidth="1"/>
    <col min="3" max="3" width="58" customWidth="1"/>
    <col min="4" max="5" width="10" customWidth="1"/>
    <col min="6" max="6" width="16" customWidth="1"/>
  </cols>
  <sheetData>
    <row r="1" ht="28" customHeight="1" spans="1:6">
      <c r="A1" s="1" t="s">
        <v>132</v>
      </c>
    </row>
    <row r="3" ht="16.5" spans="1:6">
      <c r="A3" s="2" t="s">
        <v>133</v>
      </c>
      <c r="B3" s="2" t="s">
        <v>134</v>
      </c>
      <c r="C3" s="2" t="s">
        <v>135</v>
      </c>
      <c r="D3" s="2" t="s">
        <v>136</v>
      </c>
      <c r="E3" s="2" t="s">
        <v>137</v>
      </c>
      <c r="F3" s="2" t="s">
        <v>138</v>
      </c>
    </row>
    <row r="4" spans="1:6">
      <c r="A4" s="3" t="s">
        <v>139</v>
      </c>
      <c r="B4" s="4" t="s">
        <v>140</v>
      </c>
      <c r="C4" s="4" t="s">
        <v>141</v>
      </c>
      <c r="D4" s="3" t="s">
        <v>142</v>
      </c>
      <c r="E4" s="3" t="s">
        <v>143</v>
      </c>
      <c r="F4" s="3" t="s">
        <v>144</v>
      </c>
    </row>
    <row r="5" spans="1:6">
      <c r="A5" s="5" t="s">
        <v>145</v>
      </c>
      <c r="B5" s="6" t="s">
        <v>146</v>
      </c>
      <c r="C5" s="6" t="s">
        <v>147</v>
      </c>
      <c r="D5" s="5" t="s">
        <v>142</v>
      </c>
      <c r="E5" s="5" t="s">
        <v>143</v>
      </c>
      <c r="F5" s="5" t="s">
        <v>148</v>
      </c>
    </row>
    <row r="6" spans="1:6">
      <c r="A6" s="3" t="s">
        <v>149</v>
      </c>
      <c r="B6" s="4" t="s">
        <v>150</v>
      </c>
      <c r="C6" s="4" t="s">
        <v>151</v>
      </c>
      <c r="D6" s="3" t="s">
        <v>142</v>
      </c>
      <c r="E6" s="3" t="s">
        <v>143</v>
      </c>
      <c r="F6" s="3" t="s">
        <v>152</v>
      </c>
    </row>
    <row r="7" spans="1:6">
      <c r="A7" s="5" t="s">
        <v>153</v>
      </c>
      <c r="B7" s="6" t="s">
        <v>154</v>
      </c>
      <c r="C7" s="6" t="s">
        <v>155</v>
      </c>
      <c r="D7" s="5" t="s">
        <v>142</v>
      </c>
      <c r="E7" s="5" t="s">
        <v>143</v>
      </c>
      <c r="F7" s="5" t="s">
        <v>156</v>
      </c>
    </row>
    <row r="8" spans="1:6">
      <c r="A8" s="3" t="s">
        <v>157</v>
      </c>
      <c r="B8" s="4" t="s">
        <v>158</v>
      </c>
      <c r="C8" s="4" t="s">
        <v>159</v>
      </c>
      <c r="D8" s="3" t="s">
        <v>142</v>
      </c>
      <c r="E8" s="3" t="s">
        <v>143</v>
      </c>
      <c r="F8" s="3" t="s">
        <v>160</v>
      </c>
    </row>
    <row r="9" spans="1:6">
      <c r="A9" s="5" t="s">
        <v>161</v>
      </c>
      <c r="B9" s="6" t="s">
        <v>162</v>
      </c>
      <c r="C9" s="6" t="s">
        <v>163</v>
      </c>
      <c r="D9" s="5" t="s">
        <v>142</v>
      </c>
      <c r="E9" s="5" t="s">
        <v>143</v>
      </c>
      <c r="F9" s="5" t="s">
        <v>164</v>
      </c>
    </row>
    <row r="10" spans="1:6">
      <c r="A10" s="3" t="s">
        <v>165</v>
      </c>
      <c r="B10" s="4" t="s">
        <v>166</v>
      </c>
      <c r="C10" s="4" t="s">
        <v>167</v>
      </c>
      <c r="D10" s="3" t="s">
        <v>142</v>
      </c>
      <c r="E10" s="3" t="s">
        <v>143</v>
      </c>
      <c r="F10" s="3" t="s">
        <v>168</v>
      </c>
    </row>
    <row r="11" spans="1:6">
      <c r="A11" s="5" t="s">
        <v>169</v>
      </c>
      <c r="B11" s="6" t="s">
        <v>170</v>
      </c>
      <c r="C11" s="6" t="s">
        <v>171</v>
      </c>
      <c r="D11" s="5" t="s">
        <v>142</v>
      </c>
      <c r="E11" s="5" t="s">
        <v>143</v>
      </c>
      <c r="F11" s="5" t="s">
        <v>172</v>
      </c>
    </row>
    <row r="12" spans="1:6">
      <c r="A12" s="3" t="s">
        <v>173</v>
      </c>
      <c r="B12" s="4" t="s">
        <v>174</v>
      </c>
      <c r="C12" s="4" t="s">
        <v>175</v>
      </c>
      <c r="D12" s="3" t="s">
        <v>142</v>
      </c>
      <c r="E12" s="3" t="s">
        <v>143</v>
      </c>
      <c r="F12" s="3" t="s">
        <v>176</v>
      </c>
    </row>
    <row r="13" spans="1:6">
      <c r="A13" s="5" t="s">
        <v>177</v>
      </c>
      <c r="B13" s="6" t="s">
        <v>178</v>
      </c>
      <c r="C13" s="6" t="s">
        <v>179</v>
      </c>
      <c r="D13" s="5" t="s">
        <v>142</v>
      </c>
      <c r="E13" s="5" t="s">
        <v>143</v>
      </c>
      <c r="F13" s="5" t="s">
        <v>161</v>
      </c>
    </row>
    <row r="14" spans="1:6">
      <c r="A14" s="3" t="s">
        <v>180</v>
      </c>
      <c r="B14" s="4" t="s">
        <v>181</v>
      </c>
      <c r="C14" s="4" t="s">
        <v>182</v>
      </c>
      <c r="D14" s="3" t="s">
        <v>183</v>
      </c>
      <c r="E14" s="3" t="s">
        <v>184</v>
      </c>
      <c r="F14" s="3" t="s">
        <v>185</v>
      </c>
    </row>
  </sheetData>
  <autoFilter xmlns:etc="http://www.wps.cn/officeDocument/2017/etCustomData" ref="A3:F14" etc:filterBottomFollowUsedRange="0">
    <extLst/>
  </autoFilter>
  <mergeCells count="1">
    <mergeCell ref="A1:F1"/>
  </mergeCells>
  <conditionalFormatting sqref="D4:D14">
    <cfRule type="cellIs" dxfId="0" priority="1" operator="equal">
      <formula>"必须"</formula>
    </cfRule>
    <cfRule type="cellIs" dxfId="1" priority="2" operator="equal">
      <formula>"高"</formula>
    </cfRule>
  </conditionalFormatting>
  <dataValidations count="2">
    <dataValidation type="list" allowBlank="1" sqref="D4:D14">
      <formula1>"必须,高,中,低"</formula1>
    </dataValidation>
    <dataValidation type="list" allowBlank="1" sqref="E4:E14">
      <formula1>"MVP,M2,M3,M4,M5"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J14"/>
  <sheetViews>
    <sheetView showGridLines="0" workbookViewId="0">
      <pane xSplit="2" ySplit="3" topLeftCell="C4" activePane="bottomRight" state="frozen"/>
      <selection/>
      <selection pane="topRight"/>
      <selection pane="bottomLeft"/>
      <selection pane="bottomRight" activeCell="A1" sqref="A1:J1"/>
    </sheetView>
  </sheetViews>
  <sheetFormatPr defaultColWidth="9" defaultRowHeight="13.5"/>
  <cols>
    <col min="1" max="1" width="9" customWidth="1"/>
    <col min="2" max="2" width="22" customWidth="1"/>
    <col min="3" max="4" width="30" customWidth="1"/>
    <col min="5" max="5" width="42" customWidth="1"/>
    <col min="6" max="6" width="26" customWidth="1"/>
    <col min="7" max="7" width="40" customWidth="1"/>
    <col min="8" max="8" width="36" customWidth="1"/>
    <col min="9" max="9" width="9" customWidth="1"/>
    <col min="10" max="10" width="14" customWidth="1"/>
  </cols>
  <sheetData>
    <row r="1" ht="28" customHeight="1" spans="1:10">
      <c r="A1" s="1" t="s">
        <v>186</v>
      </c>
    </row>
    <row r="3" ht="16.5" spans="1:10">
      <c r="A3" s="2" t="s">
        <v>133</v>
      </c>
      <c r="B3" s="2" t="s">
        <v>134</v>
      </c>
      <c r="C3" s="2" t="s">
        <v>187</v>
      </c>
      <c r="D3" s="2" t="s">
        <v>188</v>
      </c>
      <c r="E3" s="2" t="s">
        <v>189</v>
      </c>
      <c r="F3" s="2" t="s">
        <v>190</v>
      </c>
      <c r="G3" s="2" t="s">
        <v>191</v>
      </c>
      <c r="H3" s="2" t="s">
        <v>192</v>
      </c>
      <c r="I3" s="2" t="s">
        <v>136</v>
      </c>
      <c r="J3" s="2" t="s">
        <v>138</v>
      </c>
    </row>
    <row r="4" ht="70" customHeight="1" spans="1:10">
      <c r="A4" s="3" t="s">
        <v>139</v>
      </c>
      <c r="B4" s="4" t="s">
        <v>140</v>
      </c>
      <c r="C4" s="4" t="s">
        <v>193</v>
      </c>
      <c r="D4" s="4" t="s">
        <v>194</v>
      </c>
      <c r="E4" s="4" t="s">
        <v>195</v>
      </c>
      <c r="F4" s="4" t="s">
        <v>196</v>
      </c>
      <c r="G4" s="4" t="s">
        <v>197</v>
      </c>
      <c r="H4" s="4" t="s">
        <v>198</v>
      </c>
      <c r="I4" s="3" t="s">
        <v>142</v>
      </c>
      <c r="J4" s="3" t="s">
        <v>144</v>
      </c>
    </row>
    <row r="5" ht="70" customHeight="1" spans="1:10">
      <c r="A5" s="5" t="s">
        <v>145</v>
      </c>
      <c r="B5" s="6" t="s">
        <v>146</v>
      </c>
      <c r="C5" s="6" t="s">
        <v>199</v>
      </c>
      <c r="D5" s="6" t="s">
        <v>200</v>
      </c>
      <c r="E5" s="6" t="s">
        <v>201</v>
      </c>
      <c r="F5" s="6" t="s">
        <v>202</v>
      </c>
      <c r="G5" s="6" t="s">
        <v>203</v>
      </c>
      <c r="H5" s="6" t="s">
        <v>204</v>
      </c>
      <c r="I5" s="5" t="s">
        <v>142</v>
      </c>
      <c r="J5" s="5" t="s">
        <v>148</v>
      </c>
    </row>
    <row r="6" ht="70" customHeight="1" spans="1:10">
      <c r="A6" s="3" t="s">
        <v>149</v>
      </c>
      <c r="B6" s="4" t="s">
        <v>150</v>
      </c>
      <c r="C6" s="4" t="s">
        <v>199</v>
      </c>
      <c r="D6" s="4" t="s">
        <v>205</v>
      </c>
      <c r="E6" s="4" t="s">
        <v>206</v>
      </c>
      <c r="F6" s="4" t="s">
        <v>207</v>
      </c>
      <c r="G6" s="4" t="s">
        <v>208</v>
      </c>
      <c r="H6" s="4" t="s">
        <v>209</v>
      </c>
      <c r="I6" s="3" t="s">
        <v>142</v>
      </c>
      <c r="J6" s="3" t="s">
        <v>152</v>
      </c>
    </row>
    <row r="7" ht="70" customHeight="1" spans="1:10">
      <c r="A7" s="5" t="s">
        <v>153</v>
      </c>
      <c r="B7" s="6" t="s">
        <v>154</v>
      </c>
      <c r="C7" s="6" t="s">
        <v>210</v>
      </c>
      <c r="D7" s="6" t="s">
        <v>211</v>
      </c>
      <c r="E7" s="6" t="s">
        <v>212</v>
      </c>
      <c r="F7" s="6" t="s">
        <v>213</v>
      </c>
      <c r="G7" s="6" t="s">
        <v>214</v>
      </c>
      <c r="H7" s="6" t="s">
        <v>215</v>
      </c>
      <c r="I7" s="5" t="s">
        <v>142</v>
      </c>
      <c r="J7" s="5" t="s">
        <v>156</v>
      </c>
    </row>
    <row r="8" ht="70" customHeight="1" spans="1:10">
      <c r="A8" s="3" t="s">
        <v>157</v>
      </c>
      <c r="B8" s="4" t="s">
        <v>158</v>
      </c>
      <c r="C8" s="4" t="s">
        <v>216</v>
      </c>
      <c r="D8" s="4" t="s">
        <v>217</v>
      </c>
      <c r="E8" s="4" t="s">
        <v>218</v>
      </c>
      <c r="F8" s="4" t="s">
        <v>219</v>
      </c>
      <c r="G8" s="4" t="s">
        <v>220</v>
      </c>
      <c r="H8" s="4" t="s">
        <v>221</v>
      </c>
      <c r="I8" s="3" t="s">
        <v>142</v>
      </c>
      <c r="J8" s="3" t="s">
        <v>160</v>
      </c>
    </row>
    <row r="9" ht="70" customHeight="1" spans="1:10">
      <c r="A9" s="5" t="s">
        <v>161</v>
      </c>
      <c r="B9" s="6" t="s">
        <v>162</v>
      </c>
      <c r="C9" s="6" t="s">
        <v>222</v>
      </c>
      <c r="D9" s="6" t="s">
        <v>223</v>
      </c>
      <c r="E9" s="6" t="s">
        <v>224</v>
      </c>
      <c r="F9" s="6" t="s">
        <v>225</v>
      </c>
      <c r="G9" s="6" t="s">
        <v>226</v>
      </c>
      <c r="H9" s="6" t="s">
        <v>227</v>
      </c>
      <c r="I9" s="5" t="s">
        <v>142</v>
      </c>
      <c r="J9" s="5" t="s">
        <v>164</v>
      </c>
    </row>
    <row r="10" ht="70" customHeight="1" spans="1:10">
      <c r="A10" s="3" t="s">
        <v>165</v>
      </c>
      <c r="B10" s="4" t="s">
        <v>166</v>
      </c>
      <c r="C10" s="4" t="s">
        <v>228</v>
      </c>
      <c r="D10" s="4" t="s">
        <v>229</v>
      </c>
      <c r="E10" s="4" t="s">
        <v>230</v>
      </c>
      <c r="F10" s="4" t="s">
        <v>231</v>
      </c>
      <c r="G10" s="4" t="s">
        <v>232</v>
      </c>
      <c r="H10" s="4" t="s">
        <v>233</v>
      </c>
      <c r="I10" s="3" t="s">
        <v>142</v>
      </c>
      <c r="J10" s="3" t="s">
        <v>168</v>
      </c>
    </row>
    <row r="11" ht="70" customHeight="1" spans="1:10">
      <c r="A11" s="5" t="s">
        <v>169</v>
      </c>
      <c r="B11" s="6" t="s">
        <v>170</v>
      </c>
      <c r="C11" s="6" t="s">
        <v>234</v>
      </c>
      <c r="D11" s="6" t="s">
        <v>235</v>
      </c>
      <c r="E11" s="6" t="s">
        <v>236</v>
      </c>
      <c r="F11" s="6" t="s">
        <v>237</v>
      </c>
      <c r="G11" s="6" t="s">
        <v>238</v>
      </c>
      <c r="H11" s="6" t="s">
        <v>239</v>
      </c>
      <c r="I11" s="5" t="s">
        <v>142</v>
      </c>
      <c r="J11" s="5" t="s">
        <v>172</v>
      </c>
    </row>
    <row r="12" ht="70" customHeight="1" spans="1:10">
      <c r="A12" s="3" t="s">
        <v>173</v>
      </c>
      <c r="B12" s="4" t="s">
        <v>174</v>
      </c>
      <c r="C12" s="4" t="s">
        <v>240</v>
      </c>
      <c r="D12" s="4" t="s">
        <v>241</v>
      </c>
      <c r="E12" s="4" t="s">
        <v>242</v>
      </c>
      <c r="F12" s="4" t="s">
        <v>243</v>
      </c>
      <c r="G12" s="4" t="s">
        <v>244</v>
      </c>
      <c r="H12" s="4" t="s">
        <v>245</v>
      </c>
      <c r="I12" s="3" t="s">
        <v>142</v>
      </c>
      <c r="J12" s="3" t="s">
        <v>176</v>
      </c>
    </row>
    <row r="13" ht="70" customHeight="1" spans="1:10">
      <c r="A13" s="5" t="s">
        <v>177</v>
      </c>
      <c r="B13" s="6" t="s">
        <v>178</v>
      </c>
      <c r="C13" s="6" t="s">
        <v>246</v>
      </c>
      <c r="D13" s="6" t="s">
        <v>247</v>
      </c>
      <c r="E13" s="6" t="s">
        <v>248</v>
      </c>
      <c r="F13" s="6" t="s">
        <v>249</v>
      </c>
      <c r="G13" s="6" t="s">
        <v>250</v>
      </c>
      <c r="H13" s="6" t="s">
        <v>251</v>
      </c>
      <c r="I13" s="5" t="s">
        <v>142</v>
      </c>
      <c r="J13" s="5" t="s">
        <v>161</v>
      </c>
    </row>
    <row r="14" ht="70" customHeight="1" spans="1:10">
      <c r="A14" s="3" t="s">
        <v>180</v>
      </c>
      <c r="B14" s="4" t="s">
        <v>181</v>
      </c>
      <c r="C14" s="4" t="s">
        <v>252</v>
      </c>
      <c r="D14" s="4" t="s">
        <v>253</v>
      </c>
      <c r="E14" s="4" t="s">
        <v>254</v>
      </c>
      <c r="F14" s="4" t="s">
        <v>255</v>
      </c>
      <c r="G14" s="4" t="s">
        <v>256</v>
      </c>
      <c r="H14" s="4" t="s">
        <v>257</v>
      </c>
      <c r="I14" s="3" t="s">
        <v>183</v>
      </c>
      <c r="J14" s="3" t="s">
        <v>185</v>
      </c>
    </row>
  </sheetData>
  <autoFilter xmlns:etc="http://www.wps.cn/officeDocument/2017/etCustomData" ref="A3:J14" etc:filterBottomFollowUsedRange="0">
    <extLst/>
  </autoFilter>
  <mergeCells count="1">
    <mergeCell ref="A1:J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</sheetPr>
  <dimension ref="A1:E18"/>
  <sheetViews>
    <sheetView showGridLines="0" workbookViewId="0">
      <pane ySplit="3" topLeftCell="A4" activePane="bottomLeft" state="frozen"/>
      <selection/>
      <selection pane="bottomLeft" activeCell="A1" sqref="A1:E1"/>
    </sheetView>
  </sheetViews>
  <sheetFormatPr defaultColWidth="9" defaultRowHeight="13.5" outlineLevelCol="4"/>
  <cols>
    <col min="1" max="1" width="10" customWidth="1"/>
    <col min="2" max="2" width="18" customWidth="1"/>
    <col min="3" max="3" width="28" customWidth="1"/>
    <col min="4" max="4" width="72" customWidth="1"/>
    <col min="5" max="5" width="14" customWidth="1"/>
  </cols>
  <sheetData>
    <row r="1" ht="28" customHeight="1" spans="1:5">
      <c r="A1" s="1" t="s">
        <v>258</v>
      </c>
    </row>
    <row r="3" ht="16.5" spans="1:5">
      <c r="A3" s="2" t="s">
        <v>259</v>
      </c>
      <c r="B3" s="2" t="s">
        <v>260</v>
      </c>
      <c r="C3" s="2" t="s">
        <v>261</v>
      </c>
      <c r="D3" s="2" t="s">
        <v>262</v>
      </c>
      <c r="E3" s="2" t="s">
        <v>263</v>
      </c>
    </row>
    <row r="4" spans="1:5">
      <c r="A4" s="3" t="s">
        <v>264</v>
      </c>
      <c r="B4" s="4" t="s">
        <v>265</v>
      </c>
      <c r="C4" s="4" t="s">
        <v>266</v>
      </c>
      <c r="D4" s="4" t="s">
        <v>267</v>
      </c>
      <c r="E4" s="3" t="s">
        <v>268</v>
      </c>
    </row>
    <row r="5" spans="1:5">
      <c r="A5" s="5" t="s">
        <v>269</v>
      </c>
      <c r="B5" s="6" t="s">
        <v>265</v>
      </c>
      <c r="C5" s="6" t="s">
        <v>270</v>
      </c>
      <c r="D5" s="6" t="s">
        <v>271</v>
      </c>
      <c r="E5" s="5" t="s">
        <v>268</v>
      </c>
    </row>
    <row r="6" spans="1:5">
      <c r="A6" s="3" t="s">
        <v>272</v>
      </c>
      <c r="B6" s="4" t="s">
        <v>273</v>
      </c>
      <c r="C6" s="4" t="s">
        <v>274</v>
      </c>
      <c r="D6" s="4" t="s">
        <v>275</v>
      </c>
      <c r="E6" s="3" t="s">
        <v>276</v>
      </c>
    </row>
    <row r="7" spans="1:5">
      <c r="A7" s="5" t="s">
        <v>277</v>
      </c>
      <c r="B7" s="6" t="s">
        <v>273</v>
      </c>
      <c r="C7" s="6" t="s">
        <v>278</v>
      </c>
      <c r="D7" s="6" t="s">
        <v>279</v>
      </c>
      <c r="E7" s="5" t="s">
        <v>276</v>
      </c>
    </row>
    <row r="8" spans="1:5">
      <c r="A8" s="3" t="s">
        <v>280</v>
      </c>
      <c r="B8" s="4" t="s">
        <v>273</v>
      </c>
      <c r="C8" s="4" t="s">
        <v>281</v>
      </c>
      <c r="D8" s="4" t="s">
        <v>282</v>
      </c>
      <c r="E8" s="3" t="s">
        <v>283</v>
      </c>
    </row>
    <row r="9" spans="1:5">
      <c r="A9" s="5" t="s">
        <v>284</v>
      </c>
      <c r="B9" s="6" t="s">
        <v>273</v>
      </c>
      <c r="C9" s="6" t="s">
        <v>285</v>
      </c>
      <c r="D9" s="6" t="s">
        <v>286</v>
      </c>
      <c r="E9" s="5" t="s">
        <v>287</v>
      </c>
    </row>
    <row r="10" spans="1:5">
      <c r="A10" s="3" t="s">
        <v>288</v>
      </c>
      <c r="B10" s="4" t="s">
        <v>273</v>
      </c>
      <c r="C10" s="4" t="s">
        <v>289</v>
      </c>
      <c r="D10" s="4" t="s">
        <v>290</v>
      </c>
      <c r="E10" s="3" t="s">
        <v>291</v>
      </c>
    </row>
    <row r="11" spans="1:5">
      <c r="A11" s="5" t="s">
        <v>292</v>
      </c>
      <c r="B11" s="6" t="s">
        <v>293</v>
      </c>
      <c r="C11" s="6" t="s">
        <v>294</v>
      </c>
      <c r="D11" s="6" t="s">
        <v>295</v>
      </c>
      <c r="E11" s="5" t="s">
        <v>268</v>
      </c>
    </row>
    <row r="12" spans="1:5">
      <c r="A12" s="3" t="s">
        <v>296</v>
      </c>
      <c r="B12" s="4" t="s">
        <v>293</v>
      </c>
      <c r="C12" s="4" t="s">
        <v>297</v>
      </c>
      <c r="D12" s="4" t="s">
        <v>298</v>
      </c>
      <c r="E12" s="3" t="s">
        <v>268</v>
      </c>
    </row>
    <row r="13" spans="1:5">
      <c r="A13" s="5" t="s">
        <v>299</v>
      </c>
      <c r="B13" s="6" t="s">
        <v>300</v>
      </c>
      <c r="C13" s="6" t="s">
        <v>301</v>
      </c>
      <c r="D13" s="6" t="s">
        <v>302</v>
      </c>
      <c r="E13" s="5" t="s">
        <v>268</v>
      </c>
    </row>
    <row r="14" spans="1:5">
      <c r="A14" s="3" t="s">
        <v>303</v>
      </c>
      <c r="B14" s="4" t="s">
        <v>300</v>
      </c>
      <c r="C14" s="4" t="s">
        <v>304</v>
      </c>
      <c r="D14" s="4" t="s">
        <v>305</v>
      </c>
      <c r="E14" s="3" t="s">
        <v>268</v>
      </c>
    </row>
    <row r="15" spans="1:5">
      <c r="A15" s="5" t="s">
        <v>306</v>
      </c>
      <c r="B15" s="6" t="s">
        <v>307</v>
      </c>
      <c r="C15" s="6" t="s">
        <v>308</v>
      </c>
      <c r="D15" s="6" t="s">
        <v>309</v>
      </c>
      <c r="E15" s="5" t="s">
        <v>310</v>
      </c>
    </row>
    <row r="16" spans="1:5">
      <c r="A16" s="3" t="s">
        <v>311</v>
      </c>
      <c r="B16" s="4" t="s">
        <v>307</v>
      </c>
      <c r="C16" s="4" t="s">
        <v>312</v>
      </c>
      <c r="D16" s="4" t="s">
        <v>313</v>
      </c>
      <c r="E16" s="3" t="s">
        <v>268</v>
      </c>
    </row>
    <row r="17" spans="1:5">
      <c r="A17" s="5" t="s">
        <v>314</v>
      </c>
      <c r="B17" s="6" t="s">
        <v>315</v>
      </c>
      <c r="C17" s="6" t="s">
        <v>316</v>
      </c>
      <c r="D17" s="6" t="s">
        <v>317</v>
      </c>
      <c r="E17" s="5" t="s">
        <v>318</v>
      </c>
    </row>
    <row r="18" spans="1:5">
      <c r="A18" s="3" t="s">
        <v>319</v>
      </c>
      <c r="B18" s="4" t="s">
        <v>315</v>
      </c>
      <c r="C18" s="4" t="s">
        <v>320</v>
      </c>
      <c r="D18" s="4" t="s">
        <v>321</v>
      </c>
      <c r="E18" s="3" t="s">
        <v>318</v>
      </c>
    </row>
  </sheetData>
  <autoFilter xmlns:etc="http://www.wps.cn/officeDocument/2017/etCustomData" ref="A3:E18" etc:filterBottomFollowUsedRange="0">
    <extLst/>
  </autoFilter>
  <mergeCells count="1">
    <mergeCell ref="A1:E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8F00"/>
  </sheetPr>
  <dimension ref="A1:G9"/>
  <sheetViews>
    <sheetView showGridLines="0" workbookViewId="0">
      <pane ySplit="3" topLeftCell="A4" activePane="bottomLeft" state="frozen"/>
      <selection/>
      <selection pane="bottomLeft" activeCell="A1" sqref="A1:G1"/>
    </sheetView>
  </sheetViews>
  <sheetFormatPr defaultColWidth="9" defaultRowHeight="13.5" outlineLevelCol="6"/>
  <cols>
    <col min="1" max="1" width="8" customWidth="1"/>
    <col min="2" max="2" width="48" customWidth="1"/>
    <col min="3" max="3" width="34" customWidth="1"/>
    <col min="4" max="4" width="12" customWidth="1"/>
    <col min="5" max="5" width="16" customWidth="1"/>
    <col min="6" max="6" width="12" customWidth="1"/>
    <col min="7" max="7" width="22" customWidth="1"/>
  </cols>
  <sheetData>
    <row r="1" ht="28" customHeight="1" spans="1:7">
      <c r="A1" s="1" t="s">
        <v>322</v>
      </c>
    </row>
    <row r="3" ht="16.5" spans="1:7">
      <c r="A3" s="2" t="s">
        <v>112</v>
      </c>
      <c r="B3" s="2" t="s">
        <v>323</v>
      </c>
      <c r="C3" s="2" t="s">
        <v>324</v>
      </c>
      <c r="D3" s="2" t="s">
        <v>325</v>
      </c>
      <c r="E3" s="2" t="s">
        <v>326</v>
      </c>
      <c r="F3" s="2" t="s">
        <v>11</v>
      </c>
      <c r="G3" s="2" t="s">
        <v>327</v>
      </c>
    </row>
    <row r="4" spans="1:7">
      <c r="A4" s="3" t="s">
        <v>328</v>
      </c>
      <c r="B4" s="4" t="s">
        <v>329</v>
      </c>
      <c r="C4" s="4" t="s">
        <v>330</v>
      </c>
      <c r="D4" s="3" t="s">
        <v>66</v>
      </c>
      <c r="E4" s="3" t="s">
        <v>331</v>
      </c>
      <c r="F4" s="3" t="s">
        <v>332</v>
      </c>
      <c r="G4" s="4" t="s">
        <v>66</v>
      </c>
    </row>
    <row r="5" spans="1:7">
      <c r="A5" s="5" t="s">
        <v>333</v>
      </c>
      <c r="B5" s="6" t="s">
        <v>334</v>
      </c>
      <c r="C5" s="6" t="s">
        <v>335</v>
      </c>
      <c r="D5" s="5" t="s">
        <v>66</v>
      </c>
      <c r="E5" s="5" t="s">
        <v>331</v>
      </c>
      <c r="F5" s="5" t="s">
        <v>332</v>
      </c>
      <c r="G5" s="6" t="s">
        <v>66</v>
      </c>
    </row>
    <row r="6" spans="1:7">
      <c r="A6" s="3" t="s">
        <v>336</v>
      </c>
      <c r="B6" s="4" t="s">
        <v>337</v>
      </c>
      <c r="C6" s="4" t="s">
        <v>338</v>
      </c>
      <c r="D6" s="3" t="s">
        <v>66</v>
      </c>
      <c r="E6" s="3" t="s">
        <v>331</v>
      </c>
      <c r="F6" s="3" t="s">
        <v>332</v>
      </c>
      <c r="G6" s="4" t="s">
        <v>66</v>
      </c>
    </row>
    <row r="7" spans="1:7">
      <c r="A7" s="5" t="s">
        <v>339</v>
      </c>
      <c r="B7" s="6" t="s">
        <v>340</v>
      </c>
      <c r="C7" s="6" t="s">
        <v>341</v>
      </c>
      <c r="D7" s="5" t="s">
        <v>66</v>
      </c>
      <c r="E7" s="5" t="s">
        <v>342</v>
      </c>
      <c r="F7" s="5" t="s">
        <v>332</v>
      </c>
      <c r="G7" s="6" t="s">
        <v>66</v>
      </c>
    </row>
    <row r="8" spans="1:7">
      <c r="A8" s="3" t="s">
        <v>343</v>
      </c>
      <c r="B8" s="4" t="s">
        <v>344</v>
      </c>
      <c r="C8" s="4" t="s">
        <v>345</v>
      </c>
      <c r="D8" s="3" t="s">
        <v>66</v>
      </c>
      <c r="E8" s="3" t="s">
        <v>342</v>
      </c>
      <c r="F8" s="3" t="s">
        <v>332</v>
      </c>
      <c r="G8" s="4" t="s">
        <v>66</v>
      </c>
    </row>
    <row r="9" spans="1:7">
      <c r="A9" s="5" t="s">
        <v>346</v>
      </c>
      <c r="B9" s="6" t="s">
        <v>347</v>
      </c>
      <c r="C9" s="6" t="s">
        <v>348</v>
      </c>
      <c r="D9" s="5" t="s">
        <v>66</v>
      </c>
      <c r="E9" s="5" t="s">
        <v>349</v>
      </c>
      <c r="F9" s="5" t="s">
        <v>332</v>
      </c>
      <c r="G9" s="6" t="s">
        <v>350</v>
      </c>
    </row>
  </sheetData>
  <autoFilter xmlns:etc="http://www.wps.cn/officeDocument/2017/etCustomData" ref="A3:G9" etc:filterBottomFollowUsedRange="0">
    <extLst/>
  </autoFilter>
  <mergeCells count="1">
    <mergeCell ref="A1:G1"/>
  </mergeCells>
  <conditionalFormatting sqref="F4:F9">
    <cfRule type="cellIs" dxfId="0" priority="1" operator="equal">
      <formula>"未确定"</formula>
    </cfRule>
    <cfRule type="cellIs" dxfId="2" priority="2" operator="equal">
      <formula>"确定"</formula>
    </cfRule>
  </conditionalFormatting>
  <dataValidations count="1">
    <dataValidation type="list" allowBlank="1" sqref="F4:F9">
      <formula1>"未确定,处理中,确定,保留"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D8"/>
  <sheetViews>
    <sheetView showGridLines="0" workbookViewId="0">
      <pane ySplit="3" topLeftCell="A4" activePane="bottomLeft" state="frozen"/>
      <selection/>
      <selection pane="bottomLeft" activeCell="A1" sqref="A1:D1"/>
    </sheetView>
  </sheetViews>
  <sheetFormatPr defaultColWidth="9" defaultRowHeight="13.5" outlineLevelRow="7" outlineLevelCol="3"/>
  <cols>
    <col min="1" max="1" width="18" customWidth="1"/>
    <col min="2" max="2" width="46" customWidth="1"/>
    <col min="3" max="3" width="18" customWidth="1"/>
    <col min="4" max="4" width="40" customWidth="1"/>
  </cols>
  <sheetData>
    <row r="1" ht="28" customHeight="1" spans="1:4">
      <c r="A1" s="1" t="s">
        <v>351</v>
      </c>
    </row>
    <row r="3" ht="16.5" spans="1:4">
      <c r="A3" s="2" t="s">
        <v>323</v>
      </c>
      <c r="B3" s="2" t="s">
        <v>352</v>
      </c>
      <c r="C3" s="2" t="s">
        <v>353</v>
      </c>
      <c r="D3" s="2" t="s">
        <v>354</v>
      </c>
    </row>
    <row r="4" spans="1:4">
      <c r="A4" s="4" t="s">
        <v>355</v>
      </c>
      <c r="B4" s="4" t="s">
        <v>356</v>
      </c>
      <c r="C4" s="4" t="s">
        <v>357</v>
      </c>
      <c r="D4" s="4" t="s">
        <v>358</v>
      </c>
    </row>
    <row r="5" ht="27" spans="1:4">
      <c r="A5" s="6" t="s">
        <v>359</v>
      </c>
      <c r="B5" s="6" t="s">
        <v>360</v>
      </c>
      <c r="C5" s="6" t="s">
        <v>126</v>
      </c>
      <c r="D5" s="6" t="s">
        <v>361</v>
      </c>
    </row>
    <row r="6" ht="27" spans="1:4">
      <c r="A6" s="4" t="s">
        <v>362</v>
      </c>
      <c r="B6" s="4" t="s">
        <v>363</v>
      </c>
      <c r="C6" s="4" t="s">
        <v>126</v>
      </c>
      <c r="D6" s="4" t="s">
        <v>364</v>
      </c>
    </row>
    <row r="7" ht="27" spans="1:4">
      <c r="A7" s="6" t="s">
        <v>365</v>
      </c>
      <c r="B7" s="6" t="s">
        <v>366</v>
      </c>
      <c r="C7" s="6" t="s">
        <v>120</v>
      </c>
      <c r="D7" s="6" t="s">
        <v>177</v>
      </c>
    </row>
    <row r="8" spans="1:4">
      <c r="A8" s="4" t="s">
        <v>367</v>
      </c>
      <c r="B8" s="4" t="s">
        <v>368</v>
      </c>
      <c r="C8" s="4" t="s">
        <v>129</v>
      </c>
      <c r="D8" s="4" t="s">
        <v>180</v>
      </c>
    </row>
  </sheetData>
  <autoFilter xmlns:etc="http://www.wps.cn/officeDocument/2017/etCustomData" ref="A3:D8" etc:filterBottomFollowUsedRange="0">
    <extLst/>
  </autoFilter>
  <mergeCells count="1">
    <mergeCell ref="A1:D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showGridLines="0" workbookViewId="0">
      <pane ySplit="3" topLeftCell="A4" activePane="bottomLeft" state="frozen"/>
      <selection/>
      <selection pane="bottomLeft" activeCell="A1" sqref="A1:D1"/>
    </sheetView>
  </sheetViews>
  <sheetFormatPr defaultColWidth="9" defaultRowHeight="13.5" outlineLevelRow="7" outlineLevelCol="3"/>
  <cols>
    <col min="1" max="1" width="10" customWidth="1"/>
    <col min="2" max="2" width="34" customWidth="1"/>
    <col min="3" max="3" width="40" customWidth="1"/>
    <col min="4" max="4" width="30" customWidth="1"/>
  </cols>
  <sheetData>
    <row r="1" ht="28" customHeight="1" spans="1:4">
      <c r="A1" s="1" t="s">
        <v>369</v>
      </c>
    </row>
    <row r="3" ht="16.5" spans="1:4">
      <c r="A3" s="2" t="s">
        <v>137</v>
      </c>
      <c r="B3" s="2" t="s">
        <v>25</v>
      </c>
      <c r="C3" s="2" t="s">
        <v>370</v>
      </c>
      <c r="D3" s="2" t="s">
        <v>327</v>
      </c>
    </row>
    <row r="4" spans="1:4">
      <c r="A4" s="3" t="s">
        <v>371</v>
      </c>
      <c r="B4" s="4" t="s">
        <v>372</v>
      </c>
      <c r="C4" s="4" t="s">
        <v>373</v>
      </c>
      <c r="D4" s="4" t="s">
        <v>374</v>
      </c>
    </row>
    <row r="5" spans="1:4">
      <c r="A5" s="5" t="s">
        <v>184</v>
      </c>
      <c r="B5" s="6" t="s">
        <v>375</v>
      </c>
      <c r="C5" s="6" t="s">
        <v>376</v>
      </c>
      <c r="D5" s="6" t="s">
        <v>377</v>
      </c>
    </row>
    <row r="6" spans="1:4">
      <c r="A6" s="3" t="s">
        <v>378</v>
      </c>
      <c r="B6" s="4" t="s">
        <v>379</v>
      </c>
      <c r="C6" s="4" t="s">
        <v>380</v>
      </c>
      <c r="D6" s="4" t="s">
        <v>66</v>
      </c>
    </row>
    <row r="7" spans="1:4">
      <c r="A7" s="5" t="s">
        <v>381</v>
      </c>
      <c r="B7" s="6" t="s">
        <v>382</v>
      </c>
      <c r="C7" s="6" t="s">
        <v>383</v>
      </c>
      <c r="D7" s="6" t="s">
        <v>66</v>
      </c>
    </row>
    <row r="8" ht="27" spans="1:4">
      <c r="A8" s="3" t="s">
        <v>384</v>
      </c>
      <c r="B8" s="4" t="s">
        <v>385</v>
      </c>
      <c r="C8" s="4" t="s">
        <v>386</v>
      </c>
      <c r="D8" s="4" t="s">
        <v>66</v>
      </c>
    </row>
  </sheetData>
  <autoFilter xmlns:etc="http://www.wps.cn/officeDocument/2017/etCustomData" ref="A3:D8" etc:filterBottomFollowUsedRange="0">
    <extLst/>
  </autoFilter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封面</vt:lpstr>
      <vt:lpstr>目录</vt:lpstr>
      <vt:lpstr>修订履历</vt:lpstr>
      <vt:lpstr>术语表</vt:lpstr>
      <vt:lpstr>约束条件</vt:lpstr>
      <vt:lpstr>功能一览</vt:lpstr>
      <vt:lpstr>功能规格</vt:lpstr>
      <vt:lpstr>非功能需求</vt:lpstr>
      <vt:lpstr>课题管理</vt:lpstr>
      <vt:lpstr>可追溯性</vt:lpstr>
      <vt:lpstr>里程碑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Ulyssesビーアンビシャス</cp:lastModifiedBy>
  <dcterms:created xsi:type="dcterms:W3CDTF">2026-06-25T07:27:00Z</dcterms:created>
  <dcterms:modified xsi:type="dcterms:W3CDTF">2026-06-25T07:46:14Z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C808639794C64114A8AC2B4B7A94C7CF_12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